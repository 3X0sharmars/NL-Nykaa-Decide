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Padhai Likhai\Next Leap Projects\Grad Project\Fashion\"/>
    </mc:Choice>
  </mc:AlternateContent>
  <bookViews>
    <workbookView xWindow="0" yWindow="0" windowWidth="25125" windowHeight="1173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2" i="1" l="1"/>
  <c r="X5" i="1"/>
  <c r="U22" i="1"/>
  <c r="U5" i="1"/>
  <c r="R39" i="1"/>
  <c r="R22" i="1"/>
  <c r="O39" i="1"/>
  <c r="O22" i="1"/>
  <c r="L37" i="1"/>
  <c r="R5" i="1" l="1"/>
  <c r="O5" i="1"/>
  <c r="L21" i="1"/>
  <c r="L5" i="1"/>
  <c r="H69" i="1" l="1"/>
  <c r="H53" i="1"/>
  <c r="H37" i="1"/>
  <c r="H21" i="1"/>
  <c r="H5" i="1"/>
  <c r="C53" i="1"/>
  <c r="C37" i="1"/>
  <c r="C21" i="1"/>
  <c r="C5" i="1"/>
</calcChain>
</file>

<file path=xl/sharedStrings.xml><?xml version="1.0" encoding="utf-8"?>
<sst xmlns="http://schemas.openxmlformats.org/spreadsheetml/2006/main" count="634" uniqueCount="131">
  <si>
    <t>Field</t>
  </si>
  <si>
    <t>Value</t>
  </si>
  <si>
    <t>Participant</t>
  </si>
  <si>
    <t>P01</t>
  </si>
  <si>
    <t>Item</t>
  </si>
  <si>
    <t>Position</t>
  </si>
  <si>
    <t>Saved date</t>
  </si>
  <si>
    <t>days_since_save</t>
  </si>
  <si>
    <t>Initial context</t>
  </si>
  <si>
    <t>Revisited?</t>
  </si>
  <si>
    <t>Still wanted?</t>
  </si>
  <si>
    <t>What happened</t>
  </si>
  <si>
    <t>Purchased?</t>
  </si>
  <si>
    <t>Bought alternative?</t>
  </si>
  <si>
    <t>still_purchasable</t>
  </si>
  <si>
    <t>Primary gate</t>
  </si>
  <si>
    <t>Secondary metadata</t>
  </si>
  <si>
    <t>Evidence quote</t>
  </si>
  <si>
    <t>Black Polo Shirt</t>
  </si>
  <si>
    <t>Needed a elegant Collared T-Shirt</t>
  </si>
  <si>
    <t>N</t>
  </si>
  <si>
    <t>Y</t>
  </si>
  <si>
    <t>Lost momentum for decision making</t>
  </si>
  <si>
    <t>Shortlisted</t>
  </si>
  <si>
    <t>Lost in Latency of Decision making</t>
  </si>
  <si>
    <t>Exploring a new pair of sneakers</t>
  </si>
  <si>
    <t>Unable to decide on available choices</t>
  </si>
  <si>
    <t>Sneaker</t>
  </si>
  <si>
    <t>Liked but not sure on apperance</t>
  </si>
  <si>
    <t>Keychain</t>
  </si>
  <si>
    <t>Decision Latency</t>
  </si>
  <si>
    <t>Decision information sought: None</t>
  </si>
  <si>
    <t>Unsure on quality of leather</t>
  </si>
  <si>
    <t>Kurta for Rakhi</t>
  </si>
  <si>
    <t>Found Alternatives</t>
  </si>
  <si>
    <t>Needed quicker fit and apperance check prior to festival</t>
  </si>
  <si>
    <t>Kurta</t>
  </si>
  <si>
    <t>Timing context: Occasion
Alternative action: offline platform
Outcome: Alternative purchased</t>
  </si>
  <si>
    <t>P02</t>
  </si>
  <si>
    <t>Need accessories for rakhi dress</t>
  </si>
  <si>
    <t>Explored all the earrings, necklaces that match with rakhi dress and explore any new designs/options</t>
  </si>
  <si>
    <t>Outcome: Alternative purchased</t>
  </si>
  <si>
    <t>Found the earpiece to be on a premium</t>
  </si>
  <si>
    <t>Earrings and Necklace</t>
  </si>
  <si>
    <t>Suit Set</t>
  </si>
  <si>
    <t xml:space="preserve">Explored suits approriprate for Rakhi Occasion </t>
  </si>
  <si>
    <t>I loved it, but it's more than I want to spend right now, so I'm waiting</t>
  </si>
  <si>
    <t>Price</t>
  </si>
  <si>
    <t>Unsure on the quality for the premium paid</t>
  </si>
  <si>
    <t>Purchased</t>
  </si>
  <si>
    <t>Decision information sought: reviews</t>
  </si>
  <si>
    <t>Since the reviews were thorough and positive, I could buy it and had the opportunity to return in case of quality issues</t>
  </si>
  <si>
    <t>Bottom wear for exisiting set</t>
  </si>
  <si>
    <t>Timing context: Regular
Alternative action: offline platform
Outcome: Alternative purchased</t>
  </si>
  <si>
    <t>Unsure on whether the color will match the one visible on screen</t>
  </si>
  <si>
    <t>Bottom wear(leggings, pants etc)</t>
  </si>
  <si>
    <t xml:space="preserve">Looking for a new branded bag </t>
  </si>
  <si>
    <t>Purchased on 23rd Aug</t>
  </si>
  <si>
    <t>Timing context: Regular
Alternative action: Other online platforms
Outcome: Purchased from Nyka</t>
  </si>
  <si>
    <t>Nyka reviews were positive compared to other platforms making the product being orignal and not fake</t>
  </si>
  <si>
    <t>Handbag</t>
  </si>
  <si>
    <t>P03</t>
  </si>
  <si>
    <t>Need comfortable and presentable wear for causual days</t>
  </si>
  <si>
    <t>Explored options and shortlisted 3 different items</t>
  </si>
  <si>
    <t>Cordset for Women</t>
  </si>
  <si>
    <t>Found designs easily and in size at right price</t>
  </si>
  <si>
    <t>explored formal shirts for office presentations</t>
  </si>
  <si>
    <t>Shortlisted the options but bought offline for fit and time urgency</t>
  </si>
  <si>
    <t>Fit and Time constrainsts</t>
  </si>
  <si>
    <t>Better get offline after checking the fitting for presentations</t>
  </si>
  <si>
    <t>Formal Women Shirt</t>
  </si>
  <si>
    <t>P04</t>
  </si>
  <si>
    <t>Need to gift something for Rakhi</t>
  </si>
  <si>
    <t>Explored categories such as clothes, accessories, gift card not yet made any decision</t>
  </si>
  <si>
    <t>Occasion based gifting and decision latency</t>
  </si>
  <si>
    <t>Can't figure out if its right for the gift purpose or not</t>
  </si>
  <si>
    <t>P05</t>
  </si>
  <si>
    <t>Need maternity wear</t>
  </si>
  <si>
    <t xml:space="preserve">Checked available options for maternity wear during initial phase </t>
  </si>
  <si>
    <t>User specific needs: Occasion and exploration</t>
  </si>
  <si>
    <t>Need to know available options and reviews before hand</t>
  </si>
  <si>
    <t>Maternity Wear</t>
  </si>
  <si>
    <t>Causual t-shirt/top for regular wear</t>
  </si>
  <si>
    <t>shortlisted multiple options and chose 1</t>
  </si>
  <si>
    <t>Decision information sought: reviews, size chart</t>
  </si>
  <si>
    <t>Top/Causual T-shirt for women</t>
  </si>
  <si>
    <t>Found good enough deal at convience</t>
  </si>
  <si>
    <t>Women Clothing</t>
  </si>
  <si>
    <t>Women Accessories</t>
  </si>
  <si>
    <t>Gift Card</t>
  </si>
  <si>
    <t>Exploring clothes for expect infant</t>
  </si>
  <si>
    <t>Checked available options for infants during pre-delivery phase</t>
  </si>
  <si>
    <t>Infant wear</t>
  </si>
  <si>
    <t>Shortlisted based on choices to finalize once gender is known post delivery</t>
  </si>
  <si>
    <t>Exploring baby accessories</t>
  </si>
  <si>
    <t>Window shopping on available set of accesorries such as baby holder, wraps, carriers etc</t>
  </si>
  <si>
    <t>Baby accessories</t>
  </si>
  <si>
    <t>Checking what all options are available and there potential uses</t>
  </si>
  <si>
    <t>P06</t>
  </si>
  <si>
    <t>Need active wear for yoga</t>
  </si>
  <si>
    <t>Purchased ones with good reviewes</t>
  </si>
  <si>
    <t>Outcome: Immediately purchased in the same session</t>
  </si>
  <si>
    <t>Wanted quality yoga wear</t>
  </si>
  <si>
    <t>Active Wear</t>
  </si>
  <si>
    <t>Need Yoga Mat</t>
  </si>
  <si>
    <t>Outcome: Immediately purchased in the same session incentivised with offers(approx 50% off)</t>
  </si>
  <si>
    <t>Branded yoga mat at good price</t>
  </si>
  <si>
    <t>Fitness Accessories</t>
  </si>
  <si>
    <t>P07</t>
  </si>
  <si>
    <t>Needed punching bag for home</t>
  </si>
  <si>
    <t>Explored option, liked it but not sure on return policy</t>
  </si>
  <si>
    <t>Outcome: Decision latency due to return policy and incomplete knowledge of the product</t>
  </si>
  <si>
    <t>Wanted punching bag for post office stress but what am I getting exactly&gt;</t>
  </si>
  <si>
    <t>Fitness Accessrpies</t>
  </si>
  <si>
    <t>Need home workout equiptment</t>
  </si>
  <si>
    <t>Explored option, liked it but not sure due to limited options in budget</t>
  </si>
  <si>
    <t>Outcome: Decision latency due to limited catalogue and incomplete knowledge of the product</t>
  </si>
  <si>
    <t>Want to workout at home after office to stay physically actibe</t>
  </si>
  <si>
    <t>Decision</t>
  </si>
  <si>
    <t>Return</t>
  </si>
  <si>
    <t>Converted</t>
  </si>
  <si>
    <t>Gate</t>
  </si>
  <si>
    <t>n</t>
  </si>
  <si>
    <t>share</t>
  </si>
  <si>
    <t>Substitution</t>
  </si>
  <si>
    <t>Purchasability</t>
  </si>
  <si>
    <t>—</t>
  </si>
  <si>
    <t>Intent Decay</t>
  </si>
  <si>
    <t>Economic</t>
  </si>
  <si>
    <t>Latency</t>
  </si>
  <si>
    <t>CONVERTED_LATE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</si>
</sst>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5" fontId="0" fillId="0" borderId="1" xfId="0" applyNumberFormat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129"/>
  <sheetViews>
    <sheetView tabSelected="1" topLeftCell="C67" zoomScaleNormal="100" workbookViewId="0">
      <selection activeCell="H77" sqref="H77"/>
    </sheetView>
  </sheetViews>
  <sheetFormatPr defaultRowHeight="15" x14ac:dyDescent="0.25"/>
  <cols>
    <col min="1" max="1" width="9.140625" style="10"/>
    <col min="2" max="3" width="27" style="10" customWidth="1"/>
    <col min="4" max="6" width="9.140625" style="10"/>
    <col min="7" max="8" width="27" style="10" customWidth="1"/>
    <col min="9" max="10" width="9.140625" style="10"/>
    <col min="11" max="12" width="27" style="10" customWidth="1"/>
    <col min="13" max="13" width="9.140625" style="10"/>
    <col min="14" max="15" width="25" style="10" customWidth="1"/>
    <col min="16" max="17" width="9.140625" style="10"/>
    <col min="18" max="18" width="29" style="10" customWidth="1"/>
    <col min="19" max="19" width="9.140625" style="10"/>
    <col min="20" max="21" width="18.28515625" style="10" customWidth="1"/>
    <col min="22" max="22" width="9.140625" style="10"/>
    <col min="23" max="24" width="15.42578125" style="10" customWidth="1"/>
    <col min="25" max="16384" width="9.140625" style="10"/>
  </cols>
  <sheetData>
    <row r="2" spans="2:24" x14ac:dyDescent="0.25">
      <c r="B2" s="6" t="s">
        <v>0</v>
      </c>
      <c r="C2" s="6" t="s">
        <v>1</v>
      </c>
      <c r="G2" s="6" t="s">
        <v>0</v>
      </c>
      <c r="H2" s="6" t="s">
        <v>1</v>
      </c>
      <c r="K2" s="6" t="s">
        <v>0</v>
      </c>
      <c r="L2" s="6" t="s">
        <v>1</v>
      </c>
      <c r="N2" s="6" t="s">
        <v>0</v>
      </c>
      <c r="O2" s="6" t="s">
        <v>1</v>
      </c>
      <c r="Q2" s="6" t="s">
        <v>0</v>
      </c>
      <c r="R2" s="6" t="s">
        <v>1</v>
      </c>
      <c r="T2" s="6" t="s">
        <v>0</v>
      </c>
      <c r="U2" s="6" t="s">
        <v>1</v>
      </c>
      <c r="W2" s="6" t="s">
        <v>0</v>
      </c>
      <c r="X2" s="6" t="s">
        <v>1</v>
      </c>
    </row>
    <row r="3" spans="2:24" x14ac:dyDescent="0.25">
      <c r="B3" s="7" t="s">
        <v>2</v>
      </c>
      <c r="C3" s="7" t="s">
        <v>3</v>
      </c>
      <c r="G3" s="7" t="s">
        <v>2</v>
      </c>
      <c r="H3" s="7" t="s">
        <v>38</v>
      </c>
      <c r="K3" s="7" t="s">
        <v>2</v>
      </c>
      <c r="L3" s="7" t="s">
        <v>61</v>
      </c>
      <c r="N3" s="7" t="s">
        <v>2</v>
      </c>
      <c r="O3" s="7" t="s">
        <v>71</v>
      </c>
      <c r="Q3" s="7" t="s">
        <v>2</v>
      </c>
      <c r="R3" s="7" t="s">
        <v>76</v>
      </c>
      <c r="T3" s="7" t="s">
        <v>2</v>
      </c>
      <c r="U3" s="7" t="s">
        <v>98</v>
      </c>
      <c r="W3" s="7" t="s">
        <v>2</v>
      </c>
      <c r="X3" s="7" t="s">
        <v>108</v>
      </c>
    </row>
    <row r="4" spans="2:24" x14ac:dyDescent="0.25">
      <c r="B4" s="7" t="s">
        <v>6</v>
      </c>
      <c r="C4" s="8">
        <v>46196</v>
      </c>
      <c r="G4" s="7" t="s">
        <v>6</v>
      </c>
      <c r="H4" s="8">
        <v>46238</v>
      </c>
      <c r="K4" s="7" t="s">
        <v>6</v>
      </c>
      <c r="L4" s="8">
        <v>46244</v>
      </c>
      <c r="N4" s="7" t="s">
        <v>6</v>
      </c>
      <c r="O4" s="8">
        <v>46251</v>
      </c>
      <c r="Q4" s="7" t="s">
        <v>6</v>
      </c>
      <c r="R4" s="8">
        <v>46131</v>
      </c>
      <c r="T4" s="7" t="s">
        <v>6</v>
      </c>
      <c r="U4" s="8">
        <v>46255</v>
      </c>
      <c r="W4" s="7" t="s">
        <v>6</v>
      </c>
      <c r="X4" s="8">
        <v>46254</v>
      </c>
    </row>
    <row r="5" spans="2:24" x14ac:dyDescent="0.25">
      <c r="B5" s="6" t="s">
        <v>7</v>
      </c>
      <c r="C5" s="9">
        <f ca="1">TODAY()-C4</f>
        <v>63</v>
      </c>
      <c r="G5" s="6" t="s">
        <v>7</v>
      </c>
      <c r="H5" s="9">
        <f ca="1">TODAY()-H4</f>
        <v>21</v>
      </c>
      <c r="K5" s="6" t="s">
        <v>7</v>
      </c>
      <c r="L5" s="9">
        <f ca="1">TODAY()-L4</f>
        <v>15</v>
      </c>
      <c r="N5" s="6" t="s">
        <v>7</v>
      </c>
      <c r="O5" s="9">
        <f ca="1">TODAY()-O4</f>
        <v>8</v>
      </c>
      <c r="Q5" s="6" t="s">
        <v>7</v>
      </c>
      <c r="R5" s="9">
        <f ca="1">TODAY()-R4</f>
        <v>128</v>
      </c>
      <c r="T5" s="6" t="s">
        <v>7</v>
      </c>
      <c r="U5" s="9">
        <f ca="1">TODAY()-U4</f>
        <v>4</v>
      </c>
      <c r="W5" s="6" t="s">
        <v>7</v>
      </c>
      <c r="X5" s="9">
        <f ca="1">TODAY()-X4</f>
        <v>5</v>
      </c>
    </row>
    <row r="6" spans="2:24" x14ac:dyDescent="0.25">
      <c r="B6" s="7" t="s">
        <v>8</v>
      </c>
      <c r="C6" s="7" t="s">
        <v>19</v>
      </c>
      <c r="G6" s="7" t="s">
        <v>8</v>
      </c>
      <c r="H6" s="7" t="s">
        <v>39</v>
      </c>
      <c r="K6" s="7" t="s">
        <v>8</v>
      </c>
      <c r="L6" s="7" t="s">
        <v>62</v>
      </c>
      <c r="N6" s="7" t="s">
        <v>8</v>
      </c>
      <c r="O6" s="7" t="s">
        <v>72</v>
      </c>
      <c r="Q6" s="7" t="s">
        <v>8</v>
      </c>
      <c r="R6" s="7" t="s">
        <v>77</v>
      </c>
      <c r="T6" s="7" t="s">
        <v>8</v>
      </c>
      <c r="U6" s="7" t="s">
        <v>99</v>
      </c>
      <c r="W6" s="7" t="s">
        <v>8</v>
      </c>
      <c r="X6" s="7" t="s">
        <v>109</v>
      </c>
    </row>
    <row r="7" spans="2:24" x14ac:dyDescent="0.25">
      <c r="B7" s="7" t="s">
        <v>9</v>
      </c>
      <c r="C7" s="7" t="s">
        <v>20</v>
      </c>
      <c r="G7" s="7" t="s">
        <v>9</v>
      </c>
      <c r="H7" s="7" t="s">
        <v>21</v>
      </c>
      <c r="K7" s="7" t="s">
        <v>9</v>
      </c>
      <c r="L7" s="7" t="s">
        <v>21</v>
      </c>
      <c r="N7" s="7" t="s">
        <v>9</v>
      </c>
      <c r="O7" s="7" t="s">
        <v>21</v>
      </c>
      <c r="Q7" s="7" t="s">
        <v>9</v>
      </c>
      <c r="R7" s="7" t="s">
        <v>21</v>
      </c>
      <c r="T7" s="7" t="s">
        <v>9</v>
      </c>
      <c r="U7" s="7" t="s">
        <v>21</v>
      </c>
      <c r="W7" s="7" t="s">
        <v>9</v>
      </c>
      <c r="X7" s="7" t="s">
        <v>21</v>
      </c>
    </row>
    <row r="8" spans="2:24" x14ac:dyDescent="0.25">
      <c r="B8" s="7" t="s">
        <v>10</v>
      </c>
      <c r="C8" s="7" t="s">
        <v>21</v>
      </c>
      <c r="G8" s="7" t="s">
        <v>10</v>
      </c>
      <c r="H8" s="7" t="s">
        <v>21</v>
      </c>
      <c r="K8" s="7" t="s">
        <v>10</v>
      </c>
      <c r="L8" s="7" t="s">
        <v>21</v>
      </c>
      <c r="N8" s="7" t="s">
        <v>10</v>
      </c>
      <c r="O8" s="7" t="s">
        <v>21</v>
      </c>
      <c r="Q8" s="7" t="s">
        <v>10</v>
      </c>
      <c r="R8" s="7" t="s">
        <v>21</v>
      </c>
      <c r="T8" s="7" t="s">
        <v>10</v>
      </c>
      <c r="U8" s="7" t="s">
        <v>21</v>
      </c>
      <c r="W8" s="7" t="s">
        <v>10</v>
      </c>
      <c r="X8" s="7" t="s">
        <v>21</v>
      </c>
    </row>
    <row r="9" spans="2:24" x14ac:dyDescent="0.25">
      <c r="B9" s="7" t="s">
        <v>11</v>
      </c>
      <c r="C9" s="7" t="s">
        <v>23</v>
      </c>
      <c r="G9" s="7" t="s">
        <v>11</v>
      </c>
      <c r="H9" s="7" t="s">
        <v>40</v>
      </c>
      <c r="K9" s="7" t="s">
        <v>11</v>
      </c>
      <c r="L9" s="7" t="s">
        <v>63</v>
      </c>
      <c r="N9" s="7" t="s">
        <v>11</v>
      </c>
      <c r="O9" s="7" t="s">
        <v>73</v>
      </c>
      <c r="Q9" s="7" t="s">
        <v>11</v>
      </c>
      <c r="R9" s="7" t="s">
        <v>78</v>
      </c>
      <c r="T9" s="7" t="s">
        <v>11</v>
      </c>
      <c r="U9" s="7" t="s">
        <v>100</v>
      </c>
      <c r="W9" s="7" t="s">
        <v>11</v>
      </c>
      <c r="X9" s="7" t="s">
        <v>110</v>
      </c>
    </row>
    <row r="10" spans="2:24" x14ac:dyDescent="0.25">
      <c r="B10" s="7" t="s">
        <v>12</v>
      </c>
      <c r="C10" s="7" t="s">
        <v>20</v>
      </c>
      <c r="G10" s="7" t="s">
        <v>12</v>
      </c>
      <c r="H10" s="7" t="s">
        <v>20</v>
      </c>
      <c r="K10" s="7" t="s">
        <v>12</v>
      </c>
      <c r="L10" s="7" t="s">
        <v>21</v>
      </c>
      <c r="N10" s="7" t="s">
        <v>12</v>
      </c>
      <c r="O10" s="7" t="s">
        <v>20</v>
      </c>
      <c r="Q10" s="7" t="s">
        <v>12</v>
      </c>
      <c r="R10" s="7" t="s">
        <v>20</v>
      </c>
      <c r="T10" s="7" t="s">
        <v>12</v>
      </c>
      <c r="U10" s="7" t="s">
        <v>21</v>
      </c>
      <c r="W10" s="7" t="s">
        <v>12</v>
      </c>
      <c r="X10" s="7" t="s">
        <v>20</v>
      </c>
    </row>
    <row r="11" spans="2:24" x14ac:dyDescent="0.25">
      <c r="B11" s="7" t="s">
        <v>13</v>
      </c>
      <c r="C11" s="7" t="s">
        <v>20</v>
      </c>
      <c r="G11" s="7" t="s">
        <v>13</v>
      </c>
      <c r="H11" s="7" t="s">
        <v>21</v>
      </c>
      <c r="K11" s="7" t="s">
        <v>13</v>
      </c>
      <c r="L11" s="7" t="s">
        <v>20</v>
      </c>
      <c r="N11" s="7" t="s">
        <v>13</v>
      </c>
      <c r="O11" s="7" t="s">
        <v>20</v>
      </c>
      <c r="Q11" s="7" t="s">
        <v>13</v>
      </c>
      <c r="R11" s="7" t="s">
        <v>20</v>
      </c>
      <c r="T11" s="7" t="s">
        <v>13</v>
      </c>
      <c r="U11" s="7" t="s">
        <v>20</v>
      </c>
      <c r="W11" s="7" t="s">
        <v>13</v>
      </c>
      <c r="X11" s="7" t="s">
        <v>20</v>
      </c>
    </row>
    <row r="12" spans="2:24" x14ac:dyDescent="0.25">
      <c r="B12" s="6" t="s">
        <v>14</v>
      </c>
      <c r="C12" s="7" t="s">
        <v>21</v>
      </c>
      <c r="G12" s="6" t="s">
        <v>14</v>
      </c>
      <c r="H12" s="7" t="s">
        <v>21</v>
      </c>
      <c r="K12" s="6" t="s">
        <v>14</v>
      </c>
      <c r="L12" s="7" t="s">
        <v>21</v>
      </c>
      <c r="N12" s="6" t="s">
        <v>14</v>
      </c>
      <c r="O12" s="7" t="s">
        <v>21</v>
      </c>
      <c r="Q12" s="6" t="s">
        <v>14</v>
      </c>
      <c r="R12" s="7" t="s">
        <v>21</v>
      </c>
      <c r="T12" s="6" t="s">
        <v>14</v>
      </c>
      <c r="U12" s="7" t="s">
        <v>21</v>
      </c>
      <c r="W12" s="6" t="s">
        <v>14</v>
      </c>
      <c r="X12" s="7" t="s">
        <v>21</v>
      </c>
    </row>
    <row r="13" spans="2:24" x14ac:dyDescent="0.25">
      <c r="B13" s="7" t="s">
        <v>15</v>
      </c>
      <c r="C13" s="7" t="s">
        <v>119</v>
      </c>
      <c r="G13" s="7" t="s">
        <v>15</v>
      </c>
      <c r="H13" t="s">
        <v>124</v>
      </c>
      <c r="K13" s="7" t="s">
        <v>15</v>
      </c>
      <c r="L13" s="7" t="s">
        <v>120</v>
      </c>
      <c r="N13" s="7" t="s">
        <v>15</v>
      </c>
      <c r="O13" s="7" t="s">
        <v>118</v>
      </c>
      <c r="Q13" s="7" t="s">
        <v>15</v>
      </c>
      <c r="R13" s="7" t="s">
        <v>118</v>
      </c>
      <c r="T13" s="7" t="s">
        <v>15</v>
      </c>
      <c r="U13" s="7" t="s">
        <v>120</v>
      </c>
      <c r="W13" s="7" t="s">
        <v>15</v>
      </c>
      <c r="X13" s="7" t="s">
        <v>118</v>
      </c>
    </row>
    <row r="14" spans="2:24" x14ac:dyDescent="0.25">
      <c r="B14" s="7" t="s">
        <v>16</v>
      </c>
      <c r="C14" s="7" t="s">
        <v>24</v>
      </c>
      <c r="G14" s="7" t="s">
        <v>16</v>
      </c>
      <c r="H14" s="10" t="s">
        <v>41</v>
      </c>
      <c r="K14" s="7" t="s">
        <v>16</v>
      </c>
      <c r="L14" s="10" t="s">
        <v>41</v>
      </c>
      <c r="N14" s="7" t="s">
        <v>16</v>
      </c>
      <c r="O14" s="10" t="s">
        <v>74</v>
      </c>
      <c r="Q14" s="7" t="s">
        <v>16</v>
      </c>
      <c r="R14" s="10" t="s">
        <v>79</v>
      </c>
      <c r="T14" s="7" t="s">
        <v>16</v>
      </c>
      <c r="U14" s="10" t="s">
        <v>101</v>
      </c>
      <c r="W14" s="7" t="s">
        <v>16</v>
      </c>
      <c r="X14" s="10" t="s">
        <v>111</v>
      </c>
    </row>
    <row r="15" spans="2:24" x14ac:dyDescent="0.25">
      <c r="B15" s="7" t="s">
        <v>17</v>
      </c>
      <c r="C15" s="7" t="s">
        <v>22</v>
      </c>
      <c r="G15" s="7" t="s">
        <v>17</v>
      </c>
      <c r="H15" s="7" t="s">
        <v>42</v>
      </c>
      <c r="K15" s="7" t="s">
        <v>17</v>
      </c>
      <c r="L15" s="7" t="s">
        <v>65</v>
      </c>
      <c r="N15" s="7" t="s">
        <v>17</v>
      </c>
      <c r="O15" s="7" t="s">
        <v>75</v>
      </c>
      <c r="Q15" s="7" t="s">
        <v>17</v>
      </c>
      <c r="R15" s="7" t="s">
        <v>80</v>
      </c>
      <c r="T15" s="7" t="s">
        <v>17</v>
      </c>
      <c r="U15" s="7" t="s">
        <v>102</v>
      </c>
      <c r="W15" s="7" t="s">
        <v>17</v>
      </c>
      <c r="X15" s="7" t="s">
        <v>112</v>
      </c>
    </row>
    <row r="16" spans="2:24" x14ac:dyDescent="0.25">
      <c r="B16" s="7" t="s">
        <v>4</v>
      </c>
      <c r="C16" s="7" t="s">
        <v>18</v>
      </c>
      <c r="G16" s="7" t="s">
        <v>4</v>
      </c>
      <c r="H16" s="7" t="s">
        <v>43</v>
      </c>
      <c r="K16" s="7" t="s">
        <v>4</v>
      </c>
      <c r="L16" s="7" t="s">
        <v>64</v>
      </c>
      <c r="N16" s="7" t="s">
        <v>4</v>
      </c>
      <c r="O16" s="7" t="s">
        <v>87</v>
      </c>
      <c r="Q16" s="7" t="s">
        <v>4</v>
      </c>
      <c r="R16" s="7" t="s">
        <v>81</v>
      </c>
      <c r="T16" s="7" t="s">
        <v>4</v>
      </c>
      <c r="U16" s="7" t="s">
        <v>103</v>
      </c>
      <c r="W16" s="7" t="s">
        <v>4</v>
      </c>
      <c r="X16" s="7" t="s">
        <v>113</v>
      </c>
    </row>
    <row r="17" spans="2:24" x14ac:dyDescent="0.25">
      <c r="B17" s="7" t="s">
        <v>5</v>
      </c>
      <c r="C17" s="7">
        <v>1</v>
      </c>
      <c r="G17" s="7" t="s">
        <v>5</v>
      </c>
      <c r="H17" s="7">
        <v>1</v>
      </c>
      <c r="K17" s="7" t="s">
        <v>5</v>
      </c>
      <c r="L17" s="7">
        <v>1</v>
      </c>
      <c r="N17" s="7" t="s">
        <v>5</v>
      </c>
      <c r="O17" s="7">
        <v>1</v>
      </c>
      <c r="Q17" s="7" t="s">
        <v>5</v>
      </c>
      <c r="R17" s="7">
        <v>1</v>
      </c>
      <c r="T17" s="7" t="s">
        <v>5</v>
      </c>
      <c r="U17" s="7">
        <v>1</v>
      </c>
      <c r="W17" s="7" t="s">
        <v>5</v>
      </c>
      <c r="X17" s="7">
        <v>1</v>
      </c>
    </row>
    <row r="19" spans="2:24" x14ac:dyDescent="0.25">
      <c r="B19" s="7" t="s">
        <v>2</v>
      </c>
      <c r="C19" s="7" t="s">
        <v>3</v>
      </c>
      <c r="G19" s="7" t="s">
        <v>2</v>
      </c>
      <c r="H19" s="7" t="s">
        <v>38</v>
      </c>
      <c r="K19" s="7" t="s">
        <v>2</v>
      </c>
      <c r="L19" s="7" t="s">
        <v>61</v>
      </c>
      <c r="N19" s="6" t="s">
        <v>0</v>
      </c>
      <c r="O19" s="6" t="s">
        <v>1</v>
      </c>
      <c r="Q19" s="6" t="s">
        <v>0</v>
      </c>
      <c r="R19" s="6" t="s">
        <v>1</v>
      </c>
      <c r="T19" s="6" t="s">
        <v>0</v>
      </c>
      <c r="U19" s="6" t="s">
        <v>1</v>
      </c>
      <c r="W19" s="6" t="s">
        <v>0</v>
      </c>
      <c r="X19" s="6" t="s">
        <v>1</v>
      </c>
    </row>
    <row r="20" spans="2:24" x14ac:dyDescent="0.25">
      <c r="B20" s="7" t="s">
        <v>6</v>
      </c>
      <c r="C20" s="8">
        <v>46236</v>
      </c>
      <c r="G20" s="7" t="s">
        <v>6</v>
      </c>
      <c r="H20" s="8">
        <v>46240</v>
      </c>
      <c r="K20" s="7" t="s">
        <v>6</v>
      </c>
      <c r="L20" s="8">
        <v>46233</v>
      </c>
      <c r="N20" s="7" t="s">
        <v>2</v>
      </c>
      <c r="O20" s="7" t="s">
        <v>71</v>
      </c>
      <c r="Q20" s="7" t="s">
        <v>2</v>
      </c>
      <c r="R20" s="7" t="s">
        <v>76</v>
      </c>
      <c r="T20" s="7" t="s">
        <v>2</v>
      </c>
      <c r="U20" s="7" t="s">
        <v>98</v>
      </c>
      <c r="W20" s="7" t="s">
        <v>2</v>
      </c>
      <c r="X20" s="7" t="s">
        <v>108</v>
      </c>
    </row>
    <row r="21" spans="2:24" x14ac:dyDescent="0.25">
      <c r="B21" s="6" t="s">
        <v>7</v>
      </c>
      <c r="C21" s="9">
        <f ca="1">TODAY()-C20</f>
        <v>23</v>
      </c>
      <c r="G21" s="6" t="s">
        <v>7</v>
      </c>
      <c r="H21" s="9">
        <f ca="1">TODAY()-H20</f>
        <v>19</v>
      </c>
      <c r="K21" s="6" t="s">
        <v>7</v>
      </c>
      <c r="L21" s="9">
        <f ca="1">TODAY()-L20</f>
        <v>26</v>
      </c>
      <c r="N21" s="7" t="s">
        <v>6</v>
      </c>
      <c r="O21" s="8">
        <v>46251</v>
      </c>
      <c r="Q21" s="7" t="s">
        <v>6</v>
      </c>
      <c r="R21" s="8">
        <v>46252</v>
      </c>
      <c r="T21" s="7" t="s">
        <v>6</v>
      </c>
      <c r="U21" s="8">
        <v>46255</v>
      </c>
      <c r="W21" s="7" t="s">
        <v>6</v>
      </c>
      <c r="X21" s="8">
        <v>46254</v>
      </c>
    </row>
    <row r="22" spans="2:24" x14ac:dyDescent="0.25">
      <c r="B22" s="7" t="s">
        <v>8</v>
      </c>
      <c r="C22" s="7" t="s">
        <v>25</v>
      </c>
      <c r="G22" s="7" t="s">
        <v>8</v>
      </c>
      <c r="H22" s="7" t="s">
        <v>45</v>
      </c>
      <c r="K22" s="7" t="s">
        <v>8</v>
      </c>
      <c r="L22" s="7" t="s">
        <v>66</v>
      </c>
      <c r="N22" s="6" t="s">
        <v>7</v>
      </c>
      <c r="O22" s="9">
        <f ca="1">TODAY()-O21</f>
        <v>8</v>
      </c>
      <c r="Q22" s="6" t="s">
        <v>7</v>
      </c>
      <c r="R22" s="9">
        <f ca="1">TODAY()-R21</f>
        <v>7</v>
      </c>
      <c r="T22" s="6" t="s">
        <v>7</v>
      </c>
      <c r="U22" s="9">
        <f ca="1">TODAY()-U21</f>
        <v>4</v>
      </c>
      <c r="W22" s="6" t="s">
        <v>7</v>
      </c>
      <c r="X22" s="9">
        <f ca="1">TODAY()-X21</f>
        <v>5</v>
      </c>
    </row>
    <row r="23" spans="2:24" x14ac:dyDescent="0.25">
      <c r="B23" s="7" t="s">
        <v>9</v>
      </c>
      <c r="C23" s="7" t="s">
        <v>20</v>
      </c>
      <c r="G23" s="7" t="s">
        <v>9</v>
      </c>
      <c r="H23" s="7" t="s">
        <v>21</v>
      </c>
      <c r="K23" s="7" t="s">
        <v>9</v>
      </c>
      <c r="L23" s="7" t="s">
        <v>21</v>
      </c>
      <c r="N23" s="7" t="s">
        <v>8</v>
      </c>
      <c r="O23" s="7" t="s">
        <v>72</v>
      </c>
      <c r="Q23" s="7" t="s">
        <v>8</v>
      </c>
      <c r="R23" s="7" t="s">
        <v>90</v>
      </c>
      <c r="T23" s="7" t="s">
        <v>8</v>
      </c>
      <c r="U23" s="7" t="s">
        <v>104</v>
      </c>
      <c r="W23" s="7" t="s">
        <v>8</v>
      </c>
      <c r="X23" s="7" t="s">
        <v>114</v>
      </c>
    </row>
    <row r="24" spans="2:24" x14ac:dyDescent="0.25">
      <c r="B24" s="7" t="s">
        <v>10</v>
      </c>
      <c r="C24" s="7" t="s">
        <v>21</v>
      </c>
      <c r="G24" s="7" t="s">
        <v>10</v>
      </c>
      <c r="H24" s="7" t="s">
        <v>21</v>
      </c>
      <c r="K24" s="7" t="s">
        <v>10</v>
      </c>
      <c r="L24" s="7" t="s">
        <v>21</v>
      </c>
      <c r="N24" s="7" t="s">
        <v>9</v>
      </c>
      <c r="O24" s="7" t="s">
        <v>21</v>
      </c>
      <c r="Q24" s="7" t="s">
        <v>9</v>
      </c>
      <c r="R24" s="7" t="s">
        <v>21</v>
      </c>
      <c r="T24" s="7" t="s">
        <v>9</v>
      </c>
      <c r="U24" s="7" t="s">
        <v>21</v>
      </c>
      <c r="W24" s="7" t="s">
        <v>9</v>
      </c>
      <c r="X24" s="7" t="s">
        <v>21</v>
      </c>
    </row>
    <row r="25" spans="2:24" x14ac:dyDescent="0.25">
      <c r="B25" s="7" t="s">
        <v>11</v>
      </c>
      <c r="C25" s="7" t="s">
        <v>23</v>
      </c>
      <c r="G25" s="7" t="s">
        <v>11</v>
      </c>
      <c r="H25" s="10" t="s">
        <v>46</v>
      </c>
      <c r="K25" s="7" t="s">
        <v>11</v>
      </c>
      <c r="L25" s="10" t="s">
        <v>67</v>
      </c>
      <c r="N25" s="7" t="s">
        <v>10</v>
      </c>
      <c r="O25" s="7" t="s">
        <v>21</v>
      </c>
      <c r="Q25" s="7" t="s">
        <v>10</v>
      </c>
      <c r="R25" s="7" t="s">
        <v>21</v>
      </c>
      <c r="T25" s="7" t="s">
        <v>10</v>
      </c>
      <c r="U25" s="7" t="s">
        <v>21</v>
      </c>
      <c r="W25" s="7" t="s">
        <v>10</v>
      </c>
      <c r="X25" s="7" t="s">
        <v>21</v>
      </c>
    </row>
    <row r="26" spans="2:24" x14ac:dyDescent="0.25">
      <c r="B26" s="7" t="s">
        <v>12</v>
      </c>
      <c r="C26" s="7" t="s">
        <v>20</v>
      </c>
      <c r="G26" s="7" t="s">
        <v>12</v>
      </c>
      <c r="H26" s="7" t="s">
        <v>20</v>
      </c>
      <c r="K26" s="7" t="s">
        <v>12</v>
      </c>
      <c r="L26" s="7" t="s">
        <v>20</v>
      </c>
      <c r="N26" s="7" t="s">
        <v>11</v>
      </c>
      <c r="O26" s="7" t="s">
        <v>73</v>
      </c>
      <c r="Q26" s="7" t="s">
        <v>11</v>
      </c>
      <c r="R26" s="7" t="s">
        <v>91</v>
      </c>
      <c r="T26" s="7" t="s">
        <v>11</v>
      </c>
      <c r="U26" s="7" t="s">
        <v>100</v>
      </c>
      <c r="W26" s="7" t="s">
        <v>11</v>
      </c>
      <c r="X26" s="7" t="s">
        <v>115</v>
      </c>
    </row>
    <row r="27" spans="2:24" x14ac:dyDescent="0.25">
      <c r="B27" s="7" t="s">
        <v>13</v>
      </c>
      <c r="C27" s="7" t="s">
        <v>20</v>
      </c>
      <c r="G27" s="7" t="s">
        <v>13</v>
      </c>
      <c r="H27" s="7" t="s">
        <v>20</v>
      </c>
      <c r="K27" s="7" t="s">
        <v>13</v>
      </c>
      <c r="L27" s="7" t="s">
        <v>21</v>
      </c>
      <c r="N27" s="7" t="s">
        <v>12</v>
      </c>
      <c r="O27" s="7" t="s">
        <v>20</v>
      </c>
      <c r="Q27" s="7" t="s">
        <v>12</v>
      </c>
      <c r="R27" s="7" t="s">
        <v>20</v>
      </c>
      <c r="T27" s="7" t="s">
        <v>12</v>
      </c>
      <c r="U27" s="7" t="s">
        <v>21</v>
      </c>
      <c r="W27" s="7" t="s">
        <v>12</v>
      </c>
      <c r="X27" s="7" t="s">
        <v>20</v>
      </c>
    </row>
    <row r="28" spans="2:24" x14ac:dyDescent="0.25">
      <c r="B28" s="6" t="s">
        <v>14</v>
      </c>
      <c r="C28" s="7" t="s">
        <v>21</v>
      </c>
      <c r="G28" s="6" t="s">
        <v>14</v>
      </c>
      <c r="H28" s="7" t="s">
        <v>21</v>
      </c>
      <c r="K28" s="6" t="s">
        <v>14</v>
      </c>
      <c r="L28" s="7" t="s">
        <v>21</v>
      </c>
      <c r="N28" s="7" t="s">
        <v>13</v>
      </c>
      <c r="O28" s="7" t="s">
        <v>20</v>
      </c>
      <c r="Q28" s="7" t="s">
        <v>13</v>
      </c>
      <c r="R28" s="7" t="s">
        <v>20</v>
      </c>
      <c r="T28" s="7" t="s">
        <v>13</v>
      </c>
      <c r="U28" s="7" t="s">
        <v>20</v>
      </c>
      <c r="W28" s="7" t="s">
        <v>13</v>
      </c>
      <c r="X28" s="7" t="s">
        <v>20</v>
      </c>
    </row>
    <row r="29" spans="2:24" x14ac:dyDescent="0.25">
      <c r="B29" s="7" t="s">
        <v>15</v>
      </c>
      <c r="C29" s="7" t="s">
        <v>119</v>
      </c>
      <c r="G29" s="7" t="s">
        <v>15</v>
      </c>
      <c r="H29" s="7" t="s">
        <v>118</v>
      </c>
      <c r="K29" s="7" t="s">
        <v>15</v>
      </c>
      <c r="L29" t="s">
        <v>124</v>
      </c>
      <c r="N29" s="6" t="s">
        <v>14</v>
      </c>
      <c r="O29" s="7" t="s">
        <v>21</v>
      </c>
      <c r="Q29" s="6" t="s">
        <v>14</v>
      </c>
      <c r="R29" s="7" t="s">
        <v>21</v>
      </c>
      <c r="T29" s="6" t="s">
        <v>14</v>
      </c>
      <c r="U29" s="7" t="s">
        <v>21</v>
      </c>
      <c r="W29" s="6" t="s">
        <v>14</v>
      </c>
      <c r="X29" s="7" t="s">
        <v>21</v>
      </c>
    </row>
    <row r="30" spans="2:24" x14ac:dyDescent="0.25">
      <c r="B30" s="7" t="s">
        <v>16</v>
      </c>
      <c r="C30" s="7" t="s">
        <v>26</v>
      </c>
      <c r="G30" s="7" t="s">
        <v>16</v>
      </c>
      <c r="H30" s="10" t="s">
        <v>47</v>
      </c>
      <c r="K30" s="7" t="s">
        <v>16</v>
      </c>
      <c r="L30" s="10" t="s">
        <v>68</v>
      </c>
      <c r="N30" s="7" t="s">
        <v>15</v>
      </c>
      <c r="O30" s="7" t="s">
        <v>118</v>
      </c>
      <c r="Q30" s="7" t="s">
        <v>15</v>
      </c>
      <c r="R30" s="7" t="s">
        <v>118</v>
      </c>
      <c r="T30" s="7" t="s">
        <v>15</v>
      </c>
      <c r="U30" s="7" t="s">
        <v>120</v>
      </c>
      <c r="W30" s="7" t="s">
        <v>15</v>
      </c>
      <c r="X30" s="7" t="s">
        <v>118</v>
      </c>
    </row>
    <row r="31" spans="2:24" x14ac:dyDescent="0.25">
      <c r="B31" s="7" t="s">
        <v>17</v>
      </c>
      <c r="C31" s="7" t="s">
        <v>28</v>
      </c>
      <c r="G31" s="7" t="s">
        <v>17</v>
      </c>
      <c r="H31" s="7" t="s">
        <v>48</v>
      </c>
      <c r="K31" s="7" t="s">
        <v>17</v>
      </c>
      <c r="L31" s="7" t="s">
        <v>69</v>
      </c>
      <c r="N31" s="7" t="s">
        <v>16</v>
      </c>
      <c r="O31" s="10" t="s">
        <v>74</v>
      </c>
      <c r="Q31" s="7" t="s">
        <v>16</v>
      </c>
      <c r="R31" s="10" t="s">
        <v>79</v>
      </c>
      <c r="T31" s="7" t="s">
        <v>16</v>
      </c>
      <c r="U31" s="10" t="s">
        <v>105</v>
      </c>
      <c r="W31" s="7" t="s">
        <v>16</v>
      </c>
      <c r="X31" s="10" t="s">
        <v>116</v>
      </c>
    </row>
    <row r="32" spans="2:24" x14ac:dyDescent="0.25">
      <c r="B32" s="7" t="s">
        <v>4</v>
      </c>
      <c r="C32" s="7" t="s">
        <v>27</v>
      </c>
      <c r="G32" s="7" t="s">
        <v>4</v>
      </c>
      <c r="H32" s="7" t="s">
        <v>44</v>
      </c>
      <c r="K32" s="7" t="s">
        <v>4</v>
      </c>
      <c r="L32" s="7" t="s">
        <v>70</v>
      </c>
      <c r="N32" s="7" t="s">
        <v>17</v>
      </c>
      <c r="O32" s="7" t="s">
        <v>75</v>
      </c>
      <c r="Q32" s="7" t="s">
        <v>17</v>
      </c>
      <c r="R32" s="7" t="s">
        <v>93</v>
      </c>
      <c r="T32" s="7" t="s">
        <v>17</v>
      </c>
      <c r="U32" s="7" t="s">
        <v>106</v>
      </c>
      <c r="W32" s="7" t="s">
        <v>17</v>
      </c>
      <c r="X32" s="7" t="s">
        <v>117</v>
      </c>
    </row>
    <row r="33" spans="2:24" x14ac:dyDescent="0.25">
      <c r="B33" s="7" t="s">
        <v>5</v>
      </c>
      <c r="C33" s="7">
        <v>3</v>
      </c>
      <c r="G33" s="7" t="s">
        <v>5</v>
      </c>
      <c r="H33" s="7">
        <v>2</v>
      </c>
      <c r="K33" s="7" t="s">
        <v>5</v>
      </c>
      <c r="L33" s="7">
        <v>2</v>
      </c>
      <c r="N33" s="7" t="s">
        <v>4</v>
      </c>
      <c r="O33" s="7" t="s">
        <v>88</v>
      </c>
      <c r="Q33" s="7" t="s">
        <v>4</v>
      </c>
      <c r="R33" s="7" t="s">
        <v>92</v>
      </c>
      <c r="T33" s="7" t="s">
        <v>4</v>
      </c>
      <c r="U33" s="7" t="s">
        <v>107</v>
      </c>
      <c r="W33" s="7" t="s">
        <v>4</v>
      </c>
      <c r="X33" s="7" t="s">
        <v>113</v>
      </c>
    </row>
    <row r="34" spans="2:24" x14ac:dyDescent="0.25">
      <c r="N34" s="7" t="s">
        <v>5</v>
      </c>
      <c r="O34" s="7">
        <v>2</v>
      </c>
      <c r="Q34" s="7" t="s">
        <v>5</v>
      </c>
      <c r="R34" s="7">
        <v>2</v>
      </c>
      <c r="T34" s="7" t="s">
        <v>5</v>
      </c>
      <c r="U34" s="7">
        <v>2</v>
      </c>
      <c r="W34" s="7" t="s">
        <v>5</v>
      </c>
      <c r="X34" s="7">
        <v>2</v>
      </c>
    </row>
    <row r="35" spans="2:24" x14ac:dyDescent="0.25">
      <c r="B35" s="7" t="s">
        <v>2</v>
      </c>
      <c r="C35" s="7" t="s">
        <v>3</v>
      </c>
      <c r="G35" s="7" t="s">
        <v>2</v>
      </c>
      <c r="H35" s="7" t="s">
        <v>38</v>
      </c>
      <c r="K35" s="7" t="s">
        <v>2</v>
      </c>
      <c r="L35" s="7" t="s">
        <v>61</v>
      </c>
    </row>
    <row r="36" spans="2:24" x14ac:dyDescent="0.25">
      <c r="B36" s="7" t="s">
        <v>6</v>
      </c>
      <c r="C36" s="8">
        <v>46173</v>
      </c>
      <c r="G36" s="7" t="s">
        <v>6</v>
      </c>
      <c r="H36" s="8">
        <v>46246</v>
      </c>
      <c r="K36" s="7" t="s">
        <v>6</v>
      </c>
      <c r="L36" s="8">
        <v>46244</v>
      </c>
      <c r="N36" s="6" t="s">
        <v>0</v>
      </c>
      <c r="O36" s="6" t="s">
        <v>1</v>
      </c>
      <c r="Q36" s="6" t="s">
        <v>0</v>
      </c>
      <c r="R36" s="6" t="s">
        <v>1</v>
      </c>
      <c r="W36" s="6"/>
      <c r="X36" s="6"/>
    </row>
    <row r="37" spans="2:24" x14ac:dyDescent="0.25">
      <c r="B37" s="6" t="s">
        <v>7</v>
      </c>
      <c r="C37" s="9">
        <f ca="1">TODAY()-C36</f>
        <v>86</v>
      </c>
      <c r="G37" s="6" t="s">
        <v>7</v>
      </c>
      <c r="H37" s="9">
        <f ca="1">TODAY()-H36</f>
        <v>13</v>
      </c>
      <c r="K37" s="6" t="s">
        <v>7</v>
      </c>
      <c r="L37" s="9">
        <f ca="1">TODAY()-L36</f>
        <v>15</v>
      </c>
      <c r="N37" s="7" t="s">
        <v>2</v>
      </c>
      <c r="O37" s="7" t="s">
        <v>71</v>
      </c>
      <c r="Q37" s="7" t="s">
        <v>2</v>
      </c>
      <c r="R37" s="7" t="s">
        <v>76</v>
      </c>
      <c r="W37" s="7"/>
      <c r="X37" s="7"/>
    </row>
    <row r="38" spans="2:24" x14ac:dyDescent="0.25">
      <c r="B38" s="7" t="s">
        <v>8</v>
      </c>
      <c r="C38" s="7" t="s">
        <v>29</v>
      </c>
      <c r="G38" s="7" t="s">
        <v>8</v>
      </c>
      <c r="H38" s="7" t="s">
        <v>45</v>
      </c>
      <c r="K38" s="7" t="s">
        <v>8</v>
      </c>
      <c r="L38" s="7" t="s">
        <v>82</v>
      </c>
      <c r="N38" s="7" t="s">
        <v>6</v>
      </c>
      <c r="O38" s="8">
        <v>46251</v>
      </c>
      <c r="Q38" s="7" t="s">
        <v>6</v>
      </c>
      <c r="R38" s="8">
        <v>46252</v>
      </c>
      <c r="W38" s="7"/>
      <c r="X38" s="8"/>
    </row>
    <row r="39" spans="2:24" x14ac:dyDescent="0.25">
      <c r="B39" s="7" t="s">
        <v>9</v>
      </c>
      <c r="C39" s="7" t="s">
        <v>21</v>
      </c>
      <c r="G39" s="7" t="s">
        <v>9</v>
      </c>
      <c r="H39" s="7" t="s">
        <v>21</v>
      </c>
      <c r="K39" s="7" t="s">
        <v>9</v>
      </c>
      <c r="L39" s="7" t="s">
        <v>21</v>
      </c>
      <c r="N39" s="6" t="s">
        <v>7</v>
      </c>
      <c r="O39" s="9">
        <f ca="1">TODAY()-O38</f>
        <v>8</v>
      </c>
      <c r="Q39" s="6" t="s">
        <v>7</v>
      </c>
      <c r="R39" s="9">
        <f ca="1">TODAY()-R38</f>
        <v>7</v>
      </c>
      <c r="W39" s="6"/>
      <c r="X39" s="9"/>
    </row>
    <row r="40" spans="2:24" x14ac:dyDescent="0.25">
      <c r="B40" s="7" t="s">
        <v>10</v>
      </c>
      <c r="C40" s="7" t="s">
        <v>21</v>
      </c>
      <c r="G40" s="7" t="s">
        <v>10</v>
      </c>
      <c r="H40" s="7" t="s">
        <v>21</v>
      </c>
      <c r="K40" s="7" t="s">
        <v>10</v>
      </c>
      <c r="L40" s="7" t="s">
        <v>21</v>
      </c>
      <c r="N40" s="7" t="s">
        <v>8</v>
      </c>
      <c r="O40" s="7" t="s">
        <v>72</v>
      </c>
      <c r="Q40" s="7" t="s">
        <v>8</v>
      </c>
      <c r="R40" s="7" t="s">
        <v>94</v>
      </c>
      <c r="W40" s="7"/>
      <c r="X40" s="7"/>
    </row>
    <row r="41" spans="2:24" x14ac:dyDescent="0.25">
      <c r="B41" s="7" t="s">
        <v>11</v>
      </c>
      <c r="C41" s="7" t="s">
        <v>30</v>
      </c>
      <c r="G41" s="7" t="s">
        <v>11</v>
      </c>
      <c r="H41" s="7" t="s">
        <v>49</v>
      </c>
      <c r="K41" s="7" t="s">
        <v>11</v>
      </c>
      <c r="L41" s="10" t="s">
        <v>83</v>
      </c>
      <c r="N41" s="7" t="s">
        <v>9</v>
      </c>
      <c r="O41" s="7" t="s">
        <v>21</v>
      </c>
      <c r="Q41" s="7" t="s">
        <v>9</v>
      </c>
      <c r="R41" s="7" t="s">
        <v>21</v>
      </c>
      <c r="W41" s="7"/>
      <c r="X41" s="7"/>
    </row>
    <row r="42" spans="2:24" x14ac:dyDescent="0.25">
      <c r="B42" s="7" t="s">
        <v>12</v>
      </c>
      <c r="C42" s="7" t="s">
        <v>20</v>
      </c>
      <c r="G42" s="7" t="s">
        <v>12</v>
      </c>
      <c r="H42" s="7" t="s">
        <v>21</v>
      </c>
      <c r="K42" s="7" t="s">
        <v>12</v>
      </c>
      <c r="L42" s="7" t="s">
        <v>21</v>
      </c>
      <c r="N42" s="7" t="s">
        <v>10</v>
      </c>
      <c r="O42" s="7" t="s">
        <v>21</v>
      </c>
      <c r="Q42" s="7" t="s">
        <v>10</v>
      </c>
      <c r="R42" s="7" t="s">
        <v>21</v>
      </c>
      <c r="W42" s="7"/>
      <c r="X42" s="7"/>
    </row>
    <row r="43" spans="2:24" x14ac:dyDescent="0.25">
      <c r="B43" s="7" t="s">
        <v>13</v>
      </c>
      <c r="C43" s="7" t="s">
        <v>20</v>
      </c>
      <c r="G43" s="7" t="s">
        <v>13</v>
      </c>
      <c r="H43" s="7" t="s">
        <v>20</v>
      </c>
      <c r="K43" s="7" t="s">
        <v>13</v>
      </c>
      <c r="L43" s="7" t="s">
        <v>20</v>
      </c>
      <c r="N43" s="7" t="s">
        <v>11</v>
      </c>
      <c r="O43" s="7" t="s">
        <v>73</v>
      </c>
      <c r="Q43" s="7" t="s">
        <v>11</v>
      </c>
      <c r="R43" s="7" t="s">
        <v>95</v>
      </c>
      <c r="W43" s="7"/>
      <c r="X43" s="7"/>
    </row>
    <row r="44" spans="2:24" x14ac:dyDescent="0.25">
      <c r="B44" s="6" t="s">
        <v>14</v>
      </c>
      <c r="C44" s="7" t="s">
        <v>21</v>
      </c>
      <c r="G44" s="6" t="s">
        <v>14</v>
      </c>
      <c r="H44" s="7" t="s">
        <v>21</v>
      </c>
      <c r="K44" s="6" t="s">
        <v>14</v>
      </c>
      <c r="L44" s="7" t="s">
        <v>21</v>
      </c>
      <c r="N44" s="7" t="s">
        <v>12</v>
      </c>
      <c r="O44" s="7" t="s">
        <v>20</v>
      </c>
      <c r="Q44" s="7" t="s">
        <v>12</v>
      </c>
      <c r="R44" s="7" t="s">
        <v>20</v>
      </c>
      <c r="W44" s="7"/>
      <c r="X44" s="7"/>
    </row>
    <row r="45" spans="2:24" x14ac:dyDescent="0.25">
      <c r="B45" s="7" t="s">
        <v>15</v>
      </c>
      <c r="C45" s="7" t="s">
        <v>118</v>
      </c>
      <c r="G45" s="7" t="s">
        <v>15</v>
      </c>
      <c r="H45" s="7" t="s">
        <v>120</v>
      </c>
      <c r="K45" s="7" t="s">
        <v>15</v>
      </c>
      <c r="L45" s="7" t="s">
        <v>120</v>
      </c>
      <c r="N45" s="7" t="s">
        <v>13</v>
      </c>
      <c r="O45" s="7" t="s">
        <v>20</v>
      </c>
      <c r="Q45" s="7" t="s">
        <v>13</v>
      </c>
      <c r="R45" s="7" t="s">
        <v>20</v>
      </c>
      <c r="W45" s="7"/>
      <c r="X45" s="7"/>
    </row>
    <row r="46" spans="2:24" x14ac:dyDescent="0.25">
      <c r="B46" s="7" t="s">
        <v>16</v>
      </c>
      <c r="C46" s="10" t="s">
        <v>31</v>
      </c>
      <c r="G46" s="7" t="s">
        <v>16</v>
      </c>
      <c r="H46" s="10" t="s">
        <v>50</v>
      </c>
      <c r="K46" s="7" t="s">
        <v>16</v>
      </c>
      <c r="L46" s="10" t="s">
        <v>84</v>
      </c>
      <c r="N46" s="6" t="s">
        <v>14</v>
      </c>
      <c r="O46" s="7" t="s">
        <v>21</v>
      </c>
      <c r="Q46" s="6" t="s">
        <v>14</v>
      </c>
      <c r="R46" s="7" t="s">
        <v>21</v>
      </c>
      <c r="W46" s="6"/>
      <c r="X46" s="7"/>
    </row>
    <row r="47" spans="2:24" x14ac:dyDescent="0.25">
      <c r="B47" s="7" t="s">
        <v>17</v>
      </c>
      <c r="C47" s="7" t="s">
        <v>32</v>
      </c>
      <c r="G47" s="7" t="s">
        <v>17</v>
      </c>
      <c r="H47" s="7" t="s">
        <v>51</v>
      </c>
      <c r="K47" s="7" t="s">
        <v>17</v>
      </c>
      <c r="L47" s="7" t="s">
        <v>86</v>
      </c>
      <c r="N47" s="7" t="s">
        <v>15</v>
      </c>
      <c r="O47" s="7" t="s">
        <v>118</v>
      </c>
      <c r="Q47" s="7" t="s">
        <v>15</v>
      </c>
      <c r="R47" s="7" t="s">
        <v>118</v>
      </c>
      <c r="W47" s="7"/>
      <c r="X47" s="7"/>
    </row>
    <row r="48" spans="2:24" x14ac:dyDescent="0.25">
      <c r="B48" s="7" t="s">
        <v>4</v>
      </c>
      <c r="C48" s="7" t="s">
        <v>29</v>
      </c>
      <c r="G48" s="7" t="s">
        <v>4</v>
      </c>
      <c r="H48" s="7" t="s">
        <v>44</v>
      </c>
      <c r="K48" s="7" t="s">
        <v>4</v>
      </c>
      <c r="L48" s="7" t="s">
        <v>85</v>
      </c>
      <c r="N48" s="7" t="s">
        <v>16</v>
      </c>
      <c r="O48" s="10" t="s">
        <v>74</v>
      </c>
      <c r="Q48" s="7" t="s">
        <v>16</v>
      </c>
      <c r="R48" s="10" t="s">
        <v>79</v>
      </c>
      <c r="W48" s="7"/>
    </row>
    <row r="49" spans="2:24" x14ac:dyDescent="0.25">
      <c r="B49" s="7" t="s">
        <v>5</v>
      </c>
      <c r="C49" s="7">
        <v>2</v>
      </c>
      <c r="G49" s="7" t="s">
        <v>5</v>
      </c>
      <c r="H49" s="7">
        <v>3</v>
      </c>
      <c r="K49" s="7" t="s">
        <v>5</v>
      </c>
      <c r="L49" s="7">
        <v>3</v>
      </c>
      <c r="N49" s="7" t="s">
        <v>17</v>
      </c>
      <c r="O49" s="7" t="s">
        <v>75</v>
      </c>
      <c r="Q49" s="7" t="s">
        <v>17</v>
      </c>
      <c r="R49" s="7" t="s">
        <v>97</v>
      </c>
      <c r="W49" s="7"/>
      <c r="X49" s="7"/>
    </row>
    <row r="50" spans="2:24" x14ac:dyDescent="0.25">
      <c r="N50" s="7" t="s">
        <v>4</v>
      </c>
      <c r="O50" s="7" t="s">
        <v>89</v>
      </c>
      <c r="Q50" s="7" t="s">
        <v>4</v>
      </c>
      <c r="R50" s="7" t="s">
        <v>96</v>
      </c>
      <c r="W50" s="7"/>
      <c r="X50" s="7"/>
    </row>
    <row r="51" spans="2:24" x14ac:dyDescent="0.25">
      <c r="B51" s="7" t="s">
        <v>2</v>
      </c>
      <c r="C51" s="7" t="s">
        <v>3</v>
      </c>
      <c r="G51" s="7" t="s">
        <v>2</v>
      </c>
      <c r="H51" s="7" t="s">
        <v>38</v>
      </c>
      <c r="K51" s="7"/>
      <c r="L51" s="7"/>
      <c r="N51" s="7" t="s">
        <v>5</v>
      </c>
      <c r="O51" s="7">
        <v>3</v>
      </c>
      <c r="Q51" s="7" t="s">
        <v>5</v>
      </c>
      <c r="R51" s="7">
        <v>3</v>
      </c>
      <c r="W51" s="7"/>
      <c r="X51" s="7"/>
    </row>
    <row r="52" spans="2:24" x14ac:dyDescent="0.25">
      <c r="B52" s="7" t="s">
        <v>6</v>
      </c>
      <c r="C52" s="8">
        <v>46254</v>
      </c>
      <c r="G52" s="7" t="s">
        <v>6</v>
      </c>
      <c r="H52" s="8">
        <v>46254</v>
      </c>
      <c r="K52" s="7"/>
      <c r="L52" s="8"/>
    </row>
    <row r="53" spans="2:24" x14ac:dyDescent="0.25">
      <c r="B53" s="6" t="s">
        <v>7</v>
      </c>
      <c r="C53" s="9">
        <f ca="1">TODAY()-C52</f>
        <v>5</v>
      </c>
      <c r="G53" s="6" t="s">
        <v>7</v>
      </c>
      <c r="H53" s="9">
        <f ca="1">TODAY()-H52</f>
        <v>5</v>
      </c>
      <c r="K53" s="6"/>
      <c r="L53" s="9"/>
    </row>
    <row r="54" spans="2:24" x14ac:dyDescent="0.25">
      <c r="B54" s="7" t="s">
        <v>8</v>
      </c>
      <c r="C54" s="7" t="s">
        <v>33</v>
      </c>
      <c r="G54" s="7" t="s">
        <v>8</v>
      </c>
      <c r="H54" s="7" t="s">
        <v>52</v>
      </c>
      <c r="K54" s="7"/>
      <c r="L54" s="7"/>
    </row>
    <row r="55" spans="2:24" x14ac:dyDescent="0.25">
      <c r="B55" s="7" t="s">
        <v>9</v>
      </c>
      <c r="C55" s="7" t="s">
        <v>20</v>
      </c>
      <c r="G55" s="7" t="s">
        <v>9</v>
      </c>
      <c r="H55" s="7" t="s">
        <v>21</v>
      </c>
      <c r="K55" s="7"/>
      <c r="L55" s="7"/>
    </row>
    <row r="56" spans="2:24" x14ac:dyDescent="0.25">
      <c r="B56" s="7" t="s">
        <v>10</v>
      </c>
      <c r="C56" s="7" t="s">
        <v>20</v>
      </c>
      <c r="G56" s="7" t="s">
        <v>10</v>
      </c>
      <c r="H56" s="7" t="s">
        <v>21</v>
      </c>
      <c r="K56" s="7"/>
      <c r="L56" s="7"/>
    </row>
    <row r="57" spans="2:24" x14ac:dyDescent="0.25">
      <c r="B57" s="7" t="s">
        <v>11</v>
      </c>
      <c r="C57" s="7" t="s">
        <v>34</v>
      </c>
      <c r="G57" s="7" t="s">
        <v>11</v>
      </c>
      <c r="H57" s="7" t="s">
        <v>34</v>
      </c>
      <c r="K57" s="7"/>
      <c r="L57" s="7"/>
    </row>
    <row r="58" spans="2:24" x14ac:dyDescent="0.25">
      <c r="B58" s="7" t="s">
        <v>12</v>
      </c>
      <c r="C58" s="7" t="s">
        <v>20</v>
      </c>
      <c r="G58" s="7" t="s">
        <v>12</v>
      </c>
      <c r="H58" s="7" t="s">
        <v>20</v>
      </c>
      <c r="K58" s="7"/>
      <c r="L58" s="7"/>
    </row>
    <row r="59" spans="2:24" x14ac:dyDescent="0.25">
      <c r="B59" s="7" t="s">
        <v>13</v>
      </c>
      <c r="C59" s="7" t="s">
        <v>21</v>
      </c>
      <c r="G59" s="7" t="s">
        <v>13</v>
      </c>
      <c r="H59" s="7" t="s">
        <v>21</v>
      </c>
      <c r="K59" s="7"/>
      <c r="L59" s="7"/>
    </row>
    <row r="60" spans="2:24" x14ac:dyDescent="0.25">
      <c r="B60" s="6" t="s">
        <v>14</v>
      </c>
      <c r="C60" s="7" t="s">
        <v>21</v>
      </c>
      <c r="G60" s="6" t="s">
        <v>14</v>
      </c>
      <c r="H60" s="7" t="s">
        <v>21</v>
      </c>
      <c r="K60" s="6"/>
      <c r="L60" s="7"/>
    </row>
    <row r="61" spans="2:24" x14ac:dyDescent="0.25">
      <c r="B61" s="7" t="s">
        <v>15</v>
      </c>
      <c r="C61" t="s">
        <v>124</v>
      </c>
      <c r="G61" s="7" t="s">
        <v>15</v>
      </c>
      <c r="H61" t="s">
        <v>124</v>
      </c>
      <c r="K61" s="7"/>
      <c r="L61" s="7"/>
    </row>
    <row r="62" spans="2:24" x14ac:dyDescent="0.25">
      <c r="B62" s="7" t="s">
        <v>16</v>
      </c>
      <c r="C62" s="10" t="s">
        <v>37</v>
      </c>
      <c r="G62" s="7" t="s">
        <v>16</v>
      </c>
      <c r="H62" s="10" t="s">
        <v>53</v>
      </c>
      <c r="K62" s="7"/>
    </row>
    <row r="63" spans="2:24" x14ac:dyDescent="0.25">
      <c r="B63" s="7" t="s">
        <v>17</v>
      </c>
      <c r="C63" s="7" t="s">
        <v>35</v>
      </c>
      <c r="G63" s="7" t="s">
        <v>17</v>
      </c>
      <c r="H63" s="7" t="s">
        <v>54</v>
      </c>
      <c r="K63" s="7"/>
      <c r="L63" s="7"/>
    </row>
    <row r="64" spans="2:24" x14ac:dyDescent="0.25">
      <c r="B64" s="7" t="s">
        <v>4</v>
      </c>
      <c r="C64" s="7" t="s">
        <v>36</v>
      </c>
      <c r="G64" s="7" t="s">
        <v>4</v>
      </c>
      <c r="H64" s="7" t="s">
        <v>55</v>
      </c>
      <c r="K64" s="7"/>
      <c r="L64" s="7"/>
    </row>
    <row r="65" spans="2:12" x14ac:dyDescent="0.25">
      <c r="B65" s="7" t="s">
        <v>5</v>
      </c>
      <c r="C65" s="7">
        <v>4</v>
      </c>
      <c r="G65" s="7" t="s">
        <v>5</v>
      </c>
      <c r="H65" s="7">
        <v>4</v>
      </c>
      <c r="K65" s="7"/>
      <c r="L65" s="7"/>
    </row>
    <row r="67" spans="2:12" x14ac:dyDescent="0.25">
      <c r="G67" s="7" t="s">
        <v>2</v>
      </c>
      <c r="H67" s="7" t="s">
        <v>38</v>
      </c>
      <c r="K67" s="7"/>
      <c r="L67" s="7"/>
    </row>
    <row r="68" spans="2:12" x14ac:dyDescent="0.25">
      <c r="G68" s="7" t="s">
        <v>6</v>
      </c>
      <c r="H68" s="8">
        <v>46179</v>
      </c>
      <c r="K68" s="7"/>
      <c r="L68" s="8"/>
    </row>
    <row r="69" spans="2:12" x14ac:dyDescent="0.25">
      <c r="G69" s="6" t="s">
        <v>7</v>
      </c>
      <c r="H69" s="9">
        <f ca="1">TODAY()-H68</f>
        <v>80</v>
      </c>
      <c r="K69" s="6"/>
      <c r="L69" s="9"/>
    </row>
    <row r="70" spans="2:12" x14ac:dyDescent="0.25">
      <c r="G70" s="7" t="s">
        <v>8</v>
      </c>
      <c r="H70" s="7" t="s">
        <v>56</v>
      </c>
      <c r="K70" s="7"/>
      <c r="L70" s="7"/>
    </row>
    <row r="71" spans="2:12" x14ac:dyDescent="0.25">
      <c r="C71" s="11"/>
      <c r="G71" s="7" t="s">
        <v>9</v>
      </c>
      <c r="H71" s="7" t="s">
        <v>21</v>
      </c>
      <c r="K71" s="7"/>
      <c r="L71" s="7"/>
    </row>
    <row r="72" spans="2:12" x14ac:dyDescent="0.25">
      <c r="C72" s="11"/>
      <c r="G72" s="7" t="s">
        <v>10</v>
      </c>
      <c r="H72" s="7" t="s">
        <v>21</v>
      </c>
      <c r="K72" s="7"/>
      <c r="L72" s="7"/>
    </row>
    <row r="73" spans="2:12" x14ac:dyDescent="0.25">
      <c r="G73" s="7" t="s">
        <v>11</v>
      </c>
      <c r="H73" s="7" t="s">
        <v>57</v>
      </c>
      <c r="K73" s="7"/>
      <c r="L73" s="7"/>
    </row>
    <row r="74" spans="2:12" x14ac:dyDescent="0.25">
      <c r="G74" s="7" t="s">
        <v>12</v>
      </c>
      <c r="H74" s="7" t="s">
        <v>21</v>
      </c>
      <c r="K74" s="7"/>
      <c r="L74" s="7"/>
    </row>
    <row r="75" spans="2:12" x14ac:dyDescent="0.25">
      <c r="G75" s="7" t="s">
        <v>13</v>
      </c>
      <c r="H75" s="7" t="s">
        <v>20</v>
      </c>
      <c r="K75" s="7"/>
      <c r="L75" s="7"/>
    </row>
    <row r="76" spans="2:12" x14ac:dyDescent="0.25">
      <c r="G76" s="6" t="s">
        <v>14</v>
      </c>
      <c r="H76" s="7" t="s">
        <v>21</v>
      </c>
      <c r="K76" s="6"/>
      <c r="L76" s="7"/>
    </row>
    <row r="77" spans="2:12" x14ac:dyDescent="0.25">
      <c r="G77" s="7" t="s">
        <v>15</v>
      </c>
      <c r="H77" t="s">
        <v>130</v>
      </c>
      <c r="K77" s="7"/>
      <c r="L77" s="7"/>
    </row>
    <row r="78" spans="2:12" x14ac:dyDescent="0.25">
      <c r="G78" s="7" t="s">
        <v>16</v>
      </c>
      <c r="H78" s="10" t="s">
        <v>58</v>
      </c>
      <c r="K78" s="7"/>
    </row>
    <row r="79" spans="2:12" x14ac:dyDescent="0.25">
      <c r="G79" s="7" t="s">
        <v>17</v>
      </c>
      <c r="H79" s="7" t="s">
        <v>59</v>
      </c>
      <c r="K79" s="7"/>
      <c r="L79" s="7"/>
    </row>
    <row r="80" spans="2:12" x14ac:dyDescent="0.25">
      <c r="G80" s="7" t="s">
        <v>4</v>
      </c>
      <c r="H80" s="7" t="s">
        <v>60</v>
      </c>
      <c r="K80" s="7"/>
      <c r="L80" s="7"/>
    </row>
    <row r="81" spans="7:12" x14ac:dyDescent="0.25">
      <c r="G81" s="7" t="s">
        <v>5</v>
      </c>
      <c r="H81" s="7">
        <v>8</v>
      </c>
      <c r="K81" s="7"/>
      <c r="L81" s="7"/>
    </row>
    <row r="83" spans="7:12" x14ac:dyDescent="0.25">
      <c r="G83" s="7"/>
      <c r="H83" s="7"/>
      <c r="K83" s="7"/>
      <c r="L83" s="7"/>
    </row>
    <row r="84" spans="7:12" x14ac:dyDescent="0.25">
      <c r="G84" s="7"/>
      <c r="H84" s="8"/>
      <c r="K84" s="7"/>
      <c r="L84" s="8"/>
    </row>
    <row r="85" spans="7:12" x14ac:dyDescent="0.25">
      <c r="G85" s="6"/>
      <c r="H85" s="9"/>
      <c r="K85" s="6"/>
      <c r="L85" s="9"/>
    </row>
    <row r="86" spans="7:12" x14ac:dyDescent="0.25">
      <c r="G86" s="7"/>
      <c r="H86" s="7"/>
      <c r="K86" s="7"/>
      <c r="L86" s="7"/>
    </row>
    <row r="87" spans="7:12" x14ac:dyDescent="0.25">
      <c r="G87" s="7"/>
      <c r="H87" s="7"/>
      <c r="K87" s="7"/>
      <c r="L87" s="7"/>
    </row>
    <row r="88" spans="7:12" x14ac:dyDescent="0.25">
      <c r="G88" s="7"/>
      <c r="H88" s="7"/>
      <c r="K88" s="7"/>
      <c r="L88" s="7"/>
    </row>
    <row r="89" spans="7:12" x14ac:dyDescent="0.25">
      <c r="G89" s="7"/>
      <c r="H89" s="7"/>
      <c r="K89" s="7"/>
      <c r="L89" s="7"/>
    </row>
    <row r="90" spans="7:12" x14ac:dyDescent="0.25">
      <c r="G90" s="7"/>
      <c r="H90" s="7"/>
      <c r="K90" s="7"/>
      <c r="L90" s="7"/>
    </row>
    <row r="91" spans="7:12" x14ac:dyDescent="0.25">
      <c r="G91" s="7"/>
      <c r="H91" s="7"/>
      <c r="K91" s="7"/>
      <c r="L91" s="7"/>
    </row>
    <row r="92" spans="7:12" x14ac:dyDescent="0.25">
      <c r="G92" s="6"/>
      <c r="H92" s="7"/>
      <c r="K92" s="6"/>
      <c r="L92" s="7"/>
    </row>
    <row r="93" spans="7:12" x14ac:dyDescent="0.25">
      <c r="G93" s="7"/>
      <c r="H93" s="7"/>
      <c r="K93" s="7"/>
      <c r="L93" s="7"/>
    </row>
    <row r="94" spans="7:12" x14ac:dyDescent="0.25">
      <c r="G94" s="7"/>
      <c r="K94" s="7"/>
    </row>
    <row r="95" spans="7:12" x14ac:dyDescent="0.25">
      <c r="G95" s="7"/>
      <c r="H95" s="7"/>
      <c r="K95" s="7"/>
      <c r="L95" s="7"/>
    </row>
    <row r="96" spans="7:12" x14ac:dyDescent="0.25">
      <c r="G96" s="7"/>
      <c r="H96" s="7"/>
      <c r="K96" s="7"/>
      <c r="L96" s="7"/>
    </row>
    <row r="97" spans="7:12" x14ac:dyDescent="0.25">
      <c r="G97" s="7"/>
      <c r="H97" s="7"/>
      <c r="K97" s="7"/>
      <c r="L97" s="7"/>
    </row>
    <row r="99" spans="7:12" x14ac:dyDescent="0.25">
      <c r="G99" s="7"/>
      <c r="H99" s="7"/>
      <c r="K99" s="7"/>
      <c r="L99" s="7"/>
    </row>
    <row r="100" spans="7:12" x14ac:dyDescent="0.25">
      <c r="G100" s="7"/>
      <c r="H100" s="8"/>
      <c r="K100" s="7"/>
      <c r="L100" s="8"/>
    </row>
    <row r="101" spans="7:12" x14ac:dyDescent="0.25">
      <c r="G101" s="6"/>
      <c r="H101" s="9"/>
      <c r="K101" s="6"/>
      <c r="L101" s="9"/>
    </row>
    <row r="102" spans="7:12" x14ac:dyDescent="0.25">
      <c r="G102" s="7"/>
      <c r="H102" s="7"/>
      <c r="K102" s="7"/>
      <c r="L102" s="7"/>
    </row>
    <row r="103" spans="7:12" x14ac:dyDescent="0.25">
      <c r="G103" s="7"/>
      <c r="H103" s="7"/>
      <c r="K103" s="7"/>
      <c r="L103" s="7"/>
    </row>
    <row r="104" spans="7:12" x14ac:dyDescent="0.25">
      <c r="G104" s="7"/>
      <c r="H104" s="7"/>
      <c r="K104" s="7"/>
      <c r="L104" s="7"/>
    </row>
    <row r="105" spans="7:12" x14ac:dyDescent="0.25">
      <c r="G105" s="7"/>
      <c r="H105" s="7"/>
      <c r="K105" s="7"/>
      <c r="L105" s="7"/>
    </row>
    <row r="106" spans="7:12" x14ac:dyDescent="0.25">
      <c r="G106" s="7"/>
      <c r="H106" s="7"/>
      <c r="K106" s="7"/>
      <c r="L106" s="7"/>
    </row>
    <row r="107" spans="7:12" x14ac:dyDescent="0.25">
      <c r="G107" s="7"/>
      <c r="H107" s="7"/>
      <c r="K107" s="7"/>
      <c r="L107" s="7"/>
    </row>
    <row r="108" spans="7:12" x14ac:dyDescent="0.25">
      <c r="G108" s="6"/>
      <c r="H108" s="7"/>
      <c r="K108" s="6"/>
      <c r="L108" s="7"/>
    </row>
    <row r="109" spans="7:12" x14ac:dyDescent="0.25">
      <c r="G109" s="7"/>
      <c r="H109" s="7"/>
      <c r="K109" s="7"/>
      <c r="L109" s="7"/>
    </row>
    <row r="110" spans="7:12" x14ac:dyDescent="0.25">
      <c r="G110" s="7"/>
      <c r="K110" s="7"/>
    </row>
    <row r="111" spans="7:12" x14ac:dyDescent="0.25">
      <c r="G111" s="7"/>
      <c r="H111" s="7"/>
      <c r="K111" s="7"/>
      <c r="L111" s="7"/>
    </row>
    <row r="112" spans="7:12" x14ac:dyDescent="0.25">
      <c r="G112" s="7"/>
      <c r="H112" s="7"/>
      <c r="K112" s="7"/>
      <c r="L112" s="7"/>
    </row>
    <row r="113" spans="7:12" x14ac:dyDescent="0.25">
      <c r="G113" s="7"/>
      <c r="H113" s="7"/>
      <c r="K113" s="7"/>
      <c r="L113" s="7"/>
    </row>
    <row r="115" spans="7:12" x14ac:dyDescent="0.25">
      <c r="G115" s="7"/>
      <c r="H115" s="7"/>
      <c r="K115" s="7"/>
      <c r="L115" s="7"/>
    </row>
    <row r="116" spans="7:12" x14ac:dyDescent="0.25">
      <c r="G116" s="7"/>
      <c r="H116" s="8"/>
      <c r="K116" s="7"/>
      <c r="L116" s="8"/>
    </row>
    <row r="117" spans="7:12" x14ac:dyDescent="0.25">
      <c r="G117" s="6"/>
      <c r="H117" s="9"/>
      <c r="K117" s="6"/>
      <c r="L117" s="9"/>
    </row>
    <row r="118" spans="7:12" x14ac:dyDescent="0.25">
      <c r="G118" s="7"/>
      <c r="H118" s="7"/>
      <c r="K118" s="7"/>
      <c r="L118" s="7"/>
    </row>
    <row r="119" spans="7:12" x14ac:dyDescent="0.25">
      <c r="G119" s="7"/>
      <c r="H119" s="7"/>
      <c r="K119" s="7"/>
      <c r="L119" s="7"/>
    </row>
    <row r="120" spans="7:12" x14ac:dyDescent="0.25">
      <c r="G120" s="7"/>
      <c r="H120" s="7"/>
      <c r="K120" s="7"/>
      <c r="L120" s="7"/>
    </row>
    <row r="121" spans="7:12" x14ac:dyDescent="0.25">
      <c r="G121" s="7"/>
      <c r="H121" s="7"/>
      <c r="K121" s="7"/>
      <c r="L121" s="7"/>
    </row>
    <row r="122" spans="7:12" x14ac:dyDescent="0.25">
      <c r="G122" s="7"/>
      <c r="H122" s="7"/>
      <c r="K122" s="7"/>
      <c r="L122" s="7"/>
    </row>
    <row r="123" spans="7:12" x14ac:dyDescent="0.25">
      <c r="G123" s="7"/>
      <c r="H123" s="7"/>
      <c r="K123" s="7"/>
      <c r="L123" s="7"/>
    </row>
    <row r="124" spans="7:12" x14ac:dyDescent="0.25">
      <c r="G124" s="6"/>
      <c r="H124" s="7"/>
      <c r="K124" s="6"/>
      <c r="L124" s="7"/>
    </row>
    <row r="125" spans="7:12" x14ac:dyDescent="0.25">
      <c r="G125" s="7"/>
      <c r="H125" s="7"/>
      <c r="K125" s="7"/>
      <c r="L125" s="7"/>
    </row>
    <row r="126" spans="7:12" x14ac:dyDescent="0.25">
      <c r="G126" s="7"/>
      <c r="K126" s="7"/>
    </row>
    <row r="127" spans="7:12" x14ac:dyDescent="0.25">
      <c r="G127" s="7"/>
      <c r="H127" s="7"/>
      <c r="K127" s="7"/>
      <c r="L127" s="7"/>
    </row>
    <row r="128" spans="7:12" x14ac:dyDescent="0.25">
      <c r="G128" s="7"/>
      <c r="H128" s="7"/>
      <c r="K128" s="7"/>
      <c r="L128" s="7"/>
    </row>
    <row r="129" spans="7:12" x14ac:dyDescent="0.25">
      <c r="G129" s="7"/>
      <c r="H129" s="7"/>
      <c r="K129" s="7"/>
      <c r="L12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sqref="A1:C8"/>
    </sheetView>
  </sheetViews>
  <sheetFormatPr defaultRowHeight="15" x14ac:dyDescent="0.25"/>
  <sheetData>
    <row r="1" spans="1:3" x14ac:dyDescent="0.25">
      <c r="A1" s="2" t="s">
        <v>121</v>
      </c>
      <c r="B1" s="2" t="s">
        <v>122</v>
      </c>
      <c r="C1" s="2" t="s">
        <v>123</v>
      </c>
    </row>
    <row r="2" spans="1:3" x14ac:dyDescent="0.25">
      <c r="A2" s="3" t="s">
        <v>118</v>
      </c>
      <c r="B2" s="1">
        <v>12</v>
      </c>
      <c r="C2" s="4">
        <v>0.75</v>
      </c>
    </row>
    <row r="3" spans="1:3" x14ac:dyDescent="0.25">
      <c r="A3" s="1" t="s">
        <v>119</v>
      </c>
      <c r="B3" s="1">
        <v>2</v>
      </c>
      <c r="C3" s="5">
        <v>0.125</v>
      </c>
    </row>
    <row r="4" spans="1:3" ht="30" x14ac:dyDescent="0.25">
      <c r="A4" s="1" t="s">
        <v>124</v>
      </c>
      <c r="B4" s="1">
        <v>2</v>
      </c>
      <c r="C4" s="5">
        <v>0.125</v>
      </c>
    </row>
    <row r="5" spans="1:3" ht="30" x14ac:dyDescent="0.25">
      <c r="A5" s="1" t="s">
        <v>125</v>
      </c>
      <c r="B5" s="3">
        <v>0</v>
      </c>
      <c r="C5" s="1" t="s">
        <v>126</v>
      </c>
    </row>
    <row r="6" spans="1:3" ht="30" x14ac:dyDescent="0.25">
      <c r="A6" s="1" t="s">
        <v>127</v>
      </c>
      <c r="B6" s="3">
        <v>0</v>
      </c>
      <c r="C6" s="1" t="s">
        <v>126</v>
      </c>
    </row>
    <row r="7" spans="1:3" ht="30" x14ac:dyDescent="0.25">
      <c r="A7" s="1" t="s">
        <v>128</v>
      </c>
      <c r="B7" s="3">
        <v>0</v>
      </c>
      <c r="C7" s="1" t="s">
        <v>126</v>
      </c>
    </row>
    <row r="8" spans="1:3" x14ac:dyDescent="0.25">
      <c r="A8" s="1" t="s">
        <v>129</v>
      </c>
      <c r="B8" s="3">
        <v>0</v>
      </c>
      <c r="C8" s="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2026-08-23T06:13:26Z</dcterms:created>
  <dcterms:modified xsi:type="dcterms:W3CDTF">2026-08-25T04:03:20Z</dcterms:modified>
</cp:coreProperties>
</file>